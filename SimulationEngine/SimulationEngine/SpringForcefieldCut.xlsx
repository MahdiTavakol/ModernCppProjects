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6-Courses\19-ModernC++Projects\SimulationEngine\SimulationEngine\"/>
    </mc:Choice>
  </mc:AlternateContent>
  <xr:revisionPtr revIDLastSave="0" documentId="13_ncr:1_{3281DC8B-D1D6-442F-9D01-2B04F62E0E1B}" xr6:coauthVersionLast="47" xr6:coauthVersionMax="47" xr10:uidLastSave="{00000000-0000-0000-0000-000000000000}"/>
  <bookViews>
    <workbookView xWindow="-108" yWindow="-108" windowWidth="23256" windowHeight="12456" activeTab="1" xr2:uid="{F154D4F5-1EEC-4318-AABA-2E3DCA07AC94}"/>
  </bookViews>
  <sheets>
    <sheet name="SimpleSpring" sheetId="1" r:id="rId1"/>
    <sheet name="LJ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F3" i="2" s="1"/>
  <c r="M2" i="2"/>
  <c r="G3" i="2" s="1"/>
  <c r="K2" i="2"/>
  <c r="E3" i="2" s="1"/>
  <c r="U2" i="2"/>
  <c r="V2" i="2"/>
  <c r="T2" i="2"/>
  <c r="I2" i="2"/>
  <c r="J2" i="2"/>
  <c r="H2" i="2"/>
  <c r="Y2" i="2"/>
  <c r="S3" i="2" s="1"/>
  <c r="P3" i="2" s="1"/>
  <c r="X2" i="2"/>
  <c r="R3" i="2" s="1"/>
  <c r="O3" i="2" s="1"/>
  <c r="W2" i="2"/>
  <c r="Q3" i="2" s="1"/>
  <c r="N3" i="2" s="1"/>
  <c r="H2" i="1"/>
  <c r="E3" i="1" s="1"/>
  <c r="I2" i="1"/>
  <c r="J2" i="1"/>
  <c r="Q2" i="1"/>
  <c r="R2" i="1"/>
  <c r="S2" i="1"/>
  <c r="G3" i="1"/>
  <c r="D3" i="1" s="1"/>
  <c r="J3" i="1" s="1"/>
  <c r="N3" i="1"/>
  <c r="K3" i="1" s="1"/>
  <c r="P3" i="1"/>
  <c r="M3" i="1" s="1"/>
  <c r="O3" i="1"/>
  <c r="L3" i="1" s="1"/>
  <c r="F3" i="1"/>
  <c r="B3" i="2" l="1"/>
  <c r="C3" i="2"/>
  <c r="D3" i="2"/>
  <c r="Q3" i="1"/>
  <c r="S3" i="1"/>
  <c r="C3" i="1"/>
  <c r="I3" i="1" s="1"/>
  <c r="B3" i="1"/>
  <c r="H3" i="1" s="1"/>
  <c r="I3" i="2" l="1"/>
  <c r="L3" i="2" s="1"/>
  <c r="F4" i="2" s="1"/>
  <c r="C4" i="2" s="1"/>
  <c r="U3" i="2"/>
  <c r="Y3" i="2"/>
  <c r="S4" i="2" s="1"/>
  <c r="P4" i="2" s="1"/>
  <c r="J3" i="2"/>
  <c r="M3" i="2" s="1"/>
  <c r="G4" i="2" s="1"/>
  <c r="V3" i="2"/>
  <c r="W3" i="2"/>
  <c r="Q4" i="2" s="1"/>
  <c r="N4" i="2" s="1"/>
  <c r="T3" i="2"/>
  <c r="H3" i="2"/>
  <c r="K3" i="2" s="1"/>
  <c r="E4" i="2" s="1"/>
  <c r="B4" i="2" s="1"/>
  <c r="H4" i="2" s="1"/>
  <c r="K4" i="2" s="1"/>
  <c r="X3" i="2"/>
  <c r="R4" i="2" s="1"/>
  <c r="R3" i="1"/>
  <c r="N4" i="1"/>
  <c r="K4" i="1" s="1"/>
  <c r="O4" i="1"/>
  <c r="L4" i="1" s="1"/>
  <c r="F4" i="1"/>
  <c r="C4" i="1" s="1"/>
  <c r="I4" i="1" s="1"/>
  <c r="P4" i="1"/>
  <c r="M4" i="1" s="1"/>
  <c r="G4" i="1"/>
  <c r="D4" i="1" s="1"/>
  <c r="J4" i="1" s="1"/>
  <c r="E4" i="1"/>
  <c r="B4" i="1" s="1"/>
  <c r="T4" i="2" l="1"/>
  <c r="E5" i="2"/>
  <c r="W4" i="2"/>
  <c r="Q5" i="2" s="1"/>
  <c r="N5" i="2" s="1"/>
  <c r="O4" i="2"/>
  <c r="D4" i="2"/>
  <c r="J4" i="2" s="1"/>
  <c r="M4" i="2" s="1"/>
  <c r="H4" i="1"/>
  <c r="E5" i="1" s="1"/>
  <c r="B5" i="1" s="1"/>
  <c r="Q4" i="1"/>
  <c r="N5" i="1" s="1"/>
  <c r="K5" i="1" s="1"/>
  <c r="S4" i="1"/>
  <c r="R4" i="1"/>
  <c r="O5" i="1" s="1"/>
  <c r="L5" i="1" s="1"/>
  <c r="G5" i="1"/>
  <c r="D5" i="1" s="1"/>
  <c r="P5" i="1"/>
  <c r="M5" i="1" s="1"/>
  <c r="F5" i="1"/>
  <c r="C5" i="1" s="1"/>
  <c r="I5" i="1" s="1"/>
  <c r="U4" i="2" l="1"/>
  <c r="I4" i="2"/>
  <c r="L4" i="2" s="1"/>
  <c r="F5" i="2" s="1"/>
  <c r="C5" i="2" s="1"/>
  <c r="V4" i="2"/>
  <c r="G5" i="2"/>
  <c r="D5" i="2" s="1"/>
  <c r="Y4" i="2"/>
  <c r="S5" i="2" s="1"/>
  <c r="X4" i="2"/>
  <c r="R5" i="2" s="1"/>
  <c r="O5" i="2" s="1"/>
  <c r="B5" i="2"/>
  <c r="J5" i="1"/>
  <c r="G6" i="1" s="1"/>
  <c r="D6" i="1" s="1"/>
  <c r="J6" i="1" s="1"/>
  <c r="H5" i="1"/>
  <c r="E6" i="1" s="1"/>
  <c r="B6" i="1" s="1"/>
  <c r="Q5" i="1"/>
  <c r="N6" i="1" s="1"/>
  <c r="K6" i="1" s="1"/>
  <c r="R5" i="1"/>
  <c r="O6" i="1" s="1"/>
  <c r="L6" i="1" s="1"/>
  <c r="S5" i="1"/>
  <c r="F6" i="1"/>
  <c r="P6" i="1"/>
  <c r="M6" i="1" s="1"/>
  <c r="U5" i="2" l="1"/>
  <c r="I5" i="2"/>
  <c r="L5" i="2" s="1"/>
  <c r="F6" i="2" s="1"/>
  <c r="W5" i="2"/>
  <c r="Q6" i="2" s="1"/>
  <c r="N6" i="2" s="1"/>
  <c r="H5" i="2"/>
  <c r="K5" i="2" s="1"/>
  <c r="T5" i="2"/>
  <c r="X5" i="2"/>
  <c r="R6" i="2" s="1"/>
  <c r="P5" i="2"/>
  <c r="V5" i="2" s="1"/>
  <c r="E6" i="2"/>
  <c r="B6" i="2" s="1"/>
  <c r="H6" i="2" s="1"/>
  <c r="K6" i="2" s="1"/>
  <c r="H6" i="1"/>
  <c r="E7" i="1" s="1"/>
  <c r="B7" i="1" s="1"/>
  <c r="S6" i="1"/>
  <c r="Q6" i="1"/>
  <c r="P7" i="1"/>
  <c r="M7" i="1" s="1"/>
  <c r="G7" i="1"/>
  <c r="D7" i="1" s="1"/>
  <c r="N7" i="1"/>
  <c r="K7" i="1" s="1"/>
  <c r="C6" i="1"/>
  <c r="I6" i="1" s="1"/>
  <c r="J5" i="2" l="1"/>
  <c r="M5" i="2" s="1"/>
  <c r="G6" i="2" s="1"/>
  <c r="T6" i="2"/>
  <c r="E7" i="2"/>
  <c r="B7" i="2" s="1"/>
  <c r="W6" i="2"/>
  <c r="Q7" i="2" s="1"/>
  <c r="N7" i="2" s="1"/>
  <c r="O6" i="2"/>
  <c r="Y5" i="2"/>
  <c r="S6" i="2" s="1"/>
  <c r="C6" i="2"/>
  <c r="I6" i="2" s="1"/>
  <c r="L6" i="2" s="1"/>
  <c r="H7" i="1"/>
  <c r="J7" i="1"/>
  <c r="Q7" i="1"/>
  <c r="S7" i="1"/>
  <c r="R6" i="1"/>
  <c r="O7" i="1" s="1"/>
  <c r="L7" i="1" s="1"/>
  <c r="F7" i="1"/>
  <c r="C7" i="1" s="1"/>
  <c r="U6" i="2" l="1"/>
  <c r="H7" i="2"/>
  <c r="K7" i="2" s="1"/>
  <c r="T7" i="2"/>
  <c r="P6" i="2"/>
  <c r="X6" i="2"/>
  <c r="R7" i="2" s="1"/>
  <c r="O7" i="2" s="1"/>
  <c r="W7" i="2"/>
  <c r="D6" i="2"/>
  <c r="J6" i="2" s="1"/>
  <c r="M6" i="2" s="1"/>
  <c r="F7" i="2"/>
  <c r="C7" i="2" s="1"/>
  <c r="I7" i="1"/>
  <c r="R7" i="1"/>
  <c r="U7" i="2" l="1"/>
  <c r="V6" i="2"/>
  <c r="I7" i="2"/>
  <c r="L7" i="2" s="1"/>
  <c r="X7" i="2"/>
  <c r="G7" i="2"/>
  <c r="D7" i="2" s="1"/>
  <c r="Y6" i="2"/>
  <c r="S7" i="2" s="1"/>
  <c r="P7" i="2" s="1"/>
  <c r="V7" i="2" s="1"/>
  <c r="J7" i="2" l="1"/>
  <c r="M7" i="2" s="1"/>
  <c r="Y7" i="2"/>
</calcChain>
</file>

<file path=xl/sharedStrings.xml><?xml version="1.0" encoding="utf-8"?>
<sst xmlns="http://schemas.openxmlformats.org/spreadsheetml/2006/main" count="44" uniqueCount="14">
  <si>
    <t>x1</t>
  </si>
  <si>
    <t>x2</t>
  </si>
  <si>
    <t>x3</t>
  </si>
  <si>
    <t>v1</t>
  </si>
  <si>
    <t>v2</t>
  </si>
  <si>
    <t>v3</t>
  </si>
  <si>
    <t>f1</t>
  </si>
  <si>
    <t>f2</t>
  </si>
  <si>
    <t>f3</t>
  </si>
  <si>
    <t>Sigma</t>
  </si>
  <si>
    <t>Epsilon</t>
  </si>
  <si>
    <t>r1</t>
  </si>
  <si>
    <t>r2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</si>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</sst>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C18F-10EB-441A-88AB-E5342F703DD2}">
  <dimension ref="A1:S7"/>
  <sheetViews>
    <sheetView workbookViewId="0">
      <selection activeCell="C11" sqref="A1:XFD1048576"/>
    </sheetView>
  </sheetViews>
  <sheetFormatPr defaultRowHeight="14.4" x14ac:dyDescent="0.3"/>
  <sheetData>
    <row r="1" spans="1:1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</row>
    <row r="2" spans="1:19" x14ac:dyDescent="0.3">
      <c r="A2">
        <v>0</v>
      </c>
      <c r="B2">
        <v>0</v>
      </c>
      <c r="C2">
        <v>0</v>
      </c>
      <c r="D2">
        <v>0</v>
      </c>
      <c r="E2">
        <v>2</v>
      </c>
      <c r="F2">
        <v>1</v>
      </c>
      <c r="G2">
        <v>5</v>
      </c>
      <c r="H2">
        <f>-10*(B2-K2)</f>
        <v>30</v>
      </c>
      <c r="I2">
        <f t="shared" ref="I2" si="0">-10*(C2-L2)</f>
        <v>1000</v>
      </c>
      <c r="J2">
        <f t="shared" ref="J2" si="1">-10*(D2-M2)</f>
        <v>10000</v>
      </c>
      <c r="K2">
        <v>3</v>
      </c>
      <c r="L2">
        <v>100</v>
      </c>
      <c r="M2">
        <v>1000</v>
      </c>
      <c r="N2">
        <v>8</v>
      </c>
      <c r="O2">
        <v>-0.1</v>
      </c>
      <c r="P2">
        <v>-10</v>
      </c>
      <c r="Q2">
        <f>-10*(K2-B2)</f>
        <v>-30</v>
      </c>
      <c r="R2">
        <f t="shared" ref="R2" si="2">-10*(L2-C2)</f>
        <v>-1000</v>
      </c>
      <c r="S2">
        <f t="shared" ref="S2" si="3">-10*(M2-D2)</f>
        <v>-10000</v>
      </c>
    </row>
    <row r="3" spans="1:19" x14ac:dyDescent="0.3">
      <c r="A3">
        <v>1</v>
      </c>
      <c r="B3">
        <f>B2+E3</f>
        <v>8</v>
      </c>
      <c r="C3">
        <f t="shared" ref="C3:D3" si="4">C2+F3</f>
        <v>201</v>
      </c>
      <c r="D3">
        <f t="shared" si="4"/>
        <v>2005</v>
      </c>
      <c r="E3">
        <f>E2+H2/5</f>
        <v>8</v>
      </c>
      <c r="F3">
        <f t="shared" ref="F3:G3" si="5">F2+I2/5</f>
        <v>201</v>
      </c>
      <c r="G3">
        <f t="shared" si="5"/>
        <v>2005</v>
      </c>
      <c r="H3">
        <f>-10*(B3-K3)</f>
        <v>-30</v>
      </c>
      <c r="I3">
        <f t="shared" ref="I3:J3" si="6">-10*(C3-L3)</f>
        <v>-3011</v>
      </c>
      <c r="J3">
        <f t="shared" si="6"/>
        <v>-30150</v>
      </c>
      <c r="K3">
        <f>K2+N3</f>
        <v>5</v>
      </c>
      <c r="L3">
        <f t="shared" ref="L3:M3" si="7">L2+O3</f>
        <v>-100.1</v>
      </c>
      <c r="M3">
        <f t="shared" si="7"/>
        <v>-1010</v>
      </c>
      <c r="N3">
        <f>N2+Q2/5</f>
        <v>2</v>
      </c>
      <c r="O3">
        <f t="shared" ref="O3:P3" si="8">O2+R2/5</f>
        <v>-200.1</v>
      </c>
      <c r="P3">
        <f t="shared" si="8"/>
        <v>-2010</v>
      </c>
      <c r="Q3">
        <f>-10*(K3-B3)</f>
        <v>30</v>
      </c>
      <c r="R3">
        <f t="shared" ref="R3:S3" si="9">-10*(L3-C3)</f>
        <v>3011</v>
      </c>
      <c r="S3">
        <f t="shared" si="9"/>
        <v>30150</v>
      </c>
    </row>
    <row r="4" spans="1:19" x14ac:dyDescent="0.3">
      <c r="A4">
        <v>2</v>
      </c>
      <c r="B4">
        <f t="shared" ref="B4:B7" si="10">B3+E4</f>
        <v>10</v>
      </c>
      <c r="C4">
        <f t="shared" ref="C4:C7" si="11">C3+F4</f>
        <v>-200.20000000000005</v>
      </c>
      <c r="D4">
        <f t="shared" ref="D4:D7" si="12">D3+G4</f>
        <v>-2020</v>
      </c>
      <c r="E4">
        <f t="shared" ref="E4:E7" si="13">E3+H3/5</f>
        <v>2</v>
      </c>
      <c r="F4">
        <f t="shared" ref="F4:F7" si="14">F3+I3/5</f>
        <v>-401.20000000000005</v>
      </c>
      <c r="G4">
        <f t="shared" ref="G4:G7" si="15">G3+J3/5</f>
        <v>-4025</v>
      </c>
      <c r="H4">
        <f t="shared" ref="H4:H7" si="16">-10*(B4-K4)</f>
        <v>30</v>
      </c>
      <c r="I4">
        <f t="shared" ref="I4:I7" si="17">-10*(C4-L4)</f>
        <v>5022</v>
      </c>
      <c r="J4">
        <f t="shared" ref="J4:J7" si="18">-10*(D4-M4)</f>
        <v>50300</v>
      </c>
      <c r="K4">
        <f t="shared" ref="K4:K7" si="19">K3+N4</f>
        <v>13</v>
      </c>
      <c r="L4">
        <f t="shared" ref="L4:L7" si="20">L3+O4</f>
        <v>302</v>
      </c>
      <c r="M4">
        <f t="shared" ref="M4:M7" si="21">M3+P4</f>
        <v>3010</v>
      </c>
      <c r="N4">
        <f t="shared" ref="N4:N7" si="22">N3+Q3/5</f>
        <v>8</v>
      </c>
      <c r="O4">
        <f t="shared" ref="O4:O7" si="23">O3+R3/5</f>
        <v>402.1</v>
      </c>
      <c r="P4">
        <f t="shared" ref="P4:P7" si="24">P3+S3/5</f>
        <v>4020</v>
      </c>
      <c r="Q4">
        <f t="shared" ref="Q4:Q7" si="25">-10*(K4-B4)</f>
        <v>-30</v>
      </c>
      <c r="R4">
        <f t="shared" ref="R4:R7" si="26">-10*(L4-C4)</f>
        <v>-5022</v>
      </c>
      <c r="S4">
        <f t="shared" ref="S4:S7" si="27">-10*(M4-D4)</f>
        <v>-50300</v>
      </c>
    </row>
    <row r="5" spans="1:19" x14ac:dyDescent="0.3">
      <c r="A5">
        <v>3</v>
      </c>
      <c r="B5">
        <f t="shared" si="10"/>
        <v>18</v>
      </c>
      <c r="C5">
        <f t="shared" si="11"/>
        <v>402.99999999999989</v>
      </c>
      <c r="D5">
        <f t="shared" si="12"/>
        <v>4015</v>
      </c>
      <c r="E5">
        <f t="shared" si="13"/>
        <v>8</v>
      </c>
      <c r="F5">
        <f t="shared" si="14"/>
        <v>603.19999999999993</v>
      </c>
      <c r="G5">
        <f t="shared" si="15"/>
        <v>6035</v>
      </c>
      <c r="H5">
        <f t="shared" si="16"/>
        <v>-30</v>
      </c>
      <c r="I5">
        <f t="shared" si="17"/>
        <v>-7032.9999999999982</v>
      </c>
      <c r="J5">
        <f t="shared" si="18"/>
        <v>-70450</v>
      </c>
      <c r="K5">
        <f t="shared" si="19"/>
        <v>15</v>
      </c>
      <c r="L5">
        <f t="shared" si="20"/>
        <v>-300.29999999999995</v>
      </c>
      <c r="M5">
        <f t="shared" si="21"/>
        <v>-3030</v>
      </c>
      <c r="N5">
        <f t="shared" si="22"/>
        <v>2</v>
      </c>
      <c r="O5">
        <f t="shared" si="23"/>
        <v>-602.29999999999995</v>
      </c>
      <c r="P5">
        <f t="shared" si="24"/>
        <v>-6040</v>
      </c>
      <c r="Q5">
        <f t="shared" si="25"/>
        <v>30</v>
      </c>
      <c r="R5">
        <f t="shared" si="26"/>
        <v>7032.9999999999982</v>
      </c>
      <c r="S5">
        <f t="shared" si="27"/>
        <v>70450</v>
      </c>
    </row>
    <row r="6" spans="1:19" x14ac:dyDescent="0.3">
      <c r="A6">
        <v>4</v>
      </c>
      <c r="B6">
        <f t="shared" si="10"/>
        <v>20</v>
      </c>
      <c r="C6">
        <f t="shared" si="11"/>
        <v>-400.39999999999986</v>
      </c>
      <c r="D6">
        <f t="shared" si="12"/>
        <v>-4040</v>
      </c>
      <c r="E6">
        <f t="shared" si="13"/>
        <v>2</v>
      </c>
      <c r="F6">
        <f t="shared" si="14"/>
        <v>-803.39999999999975</v>
      </c>
      <c r="G6">
        <f t="shared" si="15"/>
        <v>-8055</v>
      </c>
      <c r="H6">
        <f t="shared" si="16"/>
        <v>30</v>
      </c>
      <c r="I6">
        <f t="shared" si="17"/>
        <v>9043.9999999999964</v>
      </c>
      <c r="J6">
        <f t="shared" si="18"/>
        <v>90600</v>
      </c>
      <c r="K6">
        <f t="shared" si="19"/>
        <v>23</v>
      </c>
      <c r="L6">
        <f t="shared" si="20"/>
        <v>503.99999999999977</v>
      </c>
      <c r="M6">
        <f t="shared" si="21"/>
        <v>5020</v>
      </c>
      <c r="N6">
        <f t="shared" si="22"/>
        <v>8</v>
      </c>
      <c r="O6">
        <f t="shared" si="23"/>
        <v>804.29999999999973</v>
      </c>
      <c r="P6">
        <f t="shared" si="24"/>
        <v>8050</v>
      </c>
      <c r="Q6">
        <f t="shared" si="25"/>
        <v>-30</v>
      </c>
      <c r="R6">
        <f t="shared" si="26"/>
        <v>-9043.9999999999964</v>
      </c>
      <c r="S6">
        <f t="shared" si="27"/>
        <v>-90600</v>
      </c>
    </row>
    <row r="7" spans="1:19" x14ac:dyDescent="0.3">
      <c r="A7">
        <v>5</v>
      </c>
      <c r="B7">
        <f t="shared" si="10"/>
        <v>28</v>
      </c>
      <c r="C7">
        <f t="shared" si="11"/>
        <v>604.99999999999966</v>
      </c>
      <c r="D7">
        <f t="shared" si="12"/>
        <v>6025</v>
      </c>
      <c r="E7">
        <f t="shared" si="13"/>
        <v>8</v>
      </c>
      <c r="F7">
        <f t="shared" si="14"/>
        <v>1005.3999999999995</v>
      </c>
      <c r="G7">
        <f t="shared" si="15"/>
        <v>10065</v>
      </c>
      <c r="H7">
        <f t="shared" si="16"/>
        <v>-30</v>
      </c>
      <c r="I7">
        <f t="shared" si="17"/>
        <v>-11054.999999999996</v>
      </c>
      <c r="J7">
        <f t="shared" si="18"/>
        <v>-110750</v>
      </c>
      <c r="K7">
        <f t="shared" si="19"/>
        <v>25</v>
      </c>
      <c r="L7">
        <f t="shared" si="20"/>
        <v>-500.49999999999977</v>
      </c>
      <c r="M7">
        <f t="shared" si="21"/>
        <v>-5050</v>
      </c>
      <c r="N7">
        <f t="shared" si="22"/>
        <v>2</v>
      </c>
      <c r="O7">
        <f t="shared" si="23"/>
        <v>-1004.4999999999995</v>
      </c>
      <c r="P7">
        <f t="shared" si="24"/>
        <v>-10070</v>
      </c>
      <c r="Q7">
        <f t="shared" si="25"/>
        <v>30</v>
      </c>
      <c r="R7">
        <f t="shared" si="26"/>
        <v>11054.999999999996</v>
      </c>
      <c r="S7">
        <f t="shared" si="27"/>
        <v>110750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06CBA-2432-46ED-B72A-8D98E9AAD4D3}">
  <dimension ref="A1:AB7"/>
  <sheetViews>
    <sheetView tabSelected="1" topLeftCell="G1" workbookViewId="0">
      <selection activeCell="AB4" sqref="AB4"/>
    </sheetView>
  </sheetViews>
  <sheetFormatPr defaultRowHeight="14.4" x14ac:dyDescent="0.3"/>
  <cols>
    <col min="11" max="11" width="12" bestFit="1" customWidth="1"/>
  </cols>
  <sheetData>
    <row r="1" spans="1:2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11</v>
      </c>
      <c r="I1" t="s">
        <v>12</v>
      </c>
      <c r="J1" t="s">
        <v>13</v>
      </c>
      <c r="K1" t="s">
        <v>6</v>
      </c>
      <c r="L1" t="s">
        <v>7</v>
      </c>
      <c r="M1" t="s">
        <v>8</v>
      </c>
      <c r="N1" t="s">
        <v>0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11</v>
      </c>
      <c r="U1" t="s">
        <v>12</v>
      </c>
      <c r="V1" t="s">
        <v>13</v>
      </c>
      <c r="W1" t="s">
        <v>6</v>
      </c>
      <c r="X1" t="s">
        <v>7</v>
      </c>
      <c r="Y1" t="s">
        <v>8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2</v>
      </c>
      <c r="F2">
        <v>1</v>
      </c>
      <c r="G2">
        <v>5</v>
      </c>
      <c r="H2">
        <f>B2-N2</f>
        <v>-3</v>
      </c>
      <c r="I2">
        <f t="shared" ref="I2:J2" si="0">C2-O2</f>
        <v>-100</v>
      </c>
      <c r="J2">
        <f t="shared" si="0"/>
        <v>-1000</v>
      </c>
      <c r="K2">
        <f>(-24*$AB$3/H2)*(2*($AB$2/H2)^12-($AB$2/H2)^6)</f>
        <v>-5.7901441552307773E-4</v>
      </c>
      <c r="L2">
        <f t="shared" ref="L2:M2" si="1">(-24*$AB$3/I2)*(2*($AB$2/I2)^12-($AB$2/I2)^6)</f>
        <v>-1.5359999998033922E-14</v>
      </c>
      <c r="M2">
        <f t="shared" si="1"/>
        <v>-1.5359999999999996E-21</v>
      </c>
      <c r="N2">
        <v>3</v>
      </c>
      <c r="O2">
        <v>100</v>
      </c>
      <c r="P2">
        <v>1000</v>
      </c>
      <c r="Q2">
        <v>8</v>
      </c>
      <c r="R2">
        <v>-0.1</v>
      </c>
      <c r="S2">
        <v>-10</v>
      </c>
      <c r="T2">
        <f>N2-B2</f>
        <v>3</v>
      </c>
      <c r="U2">
        <f t="shared" ref="U2:V2" si="2">O2-C2</f>
        <v>100</v>
      </c>
      <c r="V2">
        <f t="shared" si="2"/>
        <v>1000</v>
      </c>
      <c r="W2">
        <f>-10*(N2-B2)</f>
        <v>-30</v>
      </c>
      <c r="X2">
        <f>-10*(O2-C2)</f>
        <v>-1000</v>
      </c>
      <c r="Y2">
        <f>-10*(P2-D2)</f>
        <v>-10000</v>
      </c>
      <c r="AA2" t="s">
        <v>9</v>
      </c>
      <c r="AB2">
        <v>2</v>
      </c>
    </row>
    <row r="3" spans="1:28" x14ac:dyDescent="0.3">
      <c r="A3">
        <v>1</v>
      </c>
      <c r="B3">
        <f>B2+E3</f>
        <v>1.9998841971168955</v>
      </c>
      <c r="C3">
        <f t="shared" ref="C3:D7" si="3">C2+F3</f>
        <v>0.99999999999999689</v>
      </c>
      <c r="D3">
        <f t="shared" si="3"/>
        <v>5</v>
      </c>
      <c r="E3">
        <f>E2+K2/5</f>
        <v>1.9998841971168955</v>
      </c>
      <c r="F3">
        <f>F2+L2/5</f>
        <v>0.99999999999999689</v>
      </c>
      <c r="G3">
        <f>G2+M2/5</f>
        <v>5</v>
      </c>
      <c r="H3">
        <f t="shared" ref="H3:H7" si="4">B3-N3</f>
        <v>-3.0001158028831045</v>
      </c>
      <c r="I3">
        <f t="shared" ref="I3:I7" si="5">C3-O3</f>
        <v>101.1</v>
      </c>
      <c r="J3">
        <f t="shared" ref="J3:J7" si="6">D3-P3</f>
        <v>1015</v>
      </c>
      <c r="K3">
        <f t="shared" ref="K3:K7" si="7">(-24*$AB$3/H3)*(2*($AB$2/H3)^12-($AB$2/H3)^6)</f>
        <v>-5.7888653556836236E-4</v>
      </c>
      <c r="L3">
        <f t="shared" ref="L3:L7" si="8">(-24*$AB$3/I3)*(2*($AB$2/I3)^12-($AB$2/I3)^6)</f>
        <v>1.4227648476633937E-14</v>
      </c>
      <c r="M3">
        <f t="shared" ref="M3:M7" si="9">(-24*$AB$3/J3)*(2*($AB$2/J3)^12-($AB$2/J3)^6)</f>
        <v>1.3839771504506888E-21</v>
      </c>
      <c r="N3">
        <f>N2+Q3</f>
        <v>5</v>
      </c>
      <c r="O3">
        <f t="shared" ref="O3:P7" si="10">O2+R3</f>
        <v>-100.1</v>
      </c>
      <c r="P3">
        <f t="shared" si="10"/>
        <v>-1010</v>
      </c>
      <c r="Q3">
        <f>Q2+W2/5</f>
        <v>2</v>
      </c>
      <c r="R3">
        <f>R2+X2/5</f>
        <v>-200.1</v>
      </c>
      <c r="S3">
        <f>S2+Y2/5</f>
        <v>-2010</v>
      </c>
      <c r="T3">
        <f t="shared" ref="T3:T7" si="11">N3-B3</f>
        <v>3.0001158028831045</v>
      </c>
      <c r="U3">
        <f t="shared" ref="U3:U7" si="12">O3-C3</f>
        <v>-101.1</v>
      </c>
      <c r="V3">
        <f t="shared" ref="V3:V7" si="13">P3-D3</f>
        <v>-1015</v>
      </c>
      <c r="W3">
        <f>-10*(N3-B3)</f>
        <v>-30.001158028831046</v>
      </c>
      <c r="X3">
        <f>-10*(O3-C3)</f>
        <v>1011</v>
      </c>
      <c r="Y3">
        <f>-10*(P3-D3)</f>
        <v>10150</v>
      </c>
      <c r="AA3" t="s">
        <v>10</v>
      </c>
      <c r="AB3">
        <v>1E-3</v>
      </c>
    </row>
    <row r="4" spans="1:28" x14ac:dyDescent="0.3">
      <c r="A4">
        <v>2</v>
      </c>
      <c r="B4">
        <f t="shared" ref="B4:B7" si="14">B3+E4</f>
        <v>3.9996526169266771</v>
      </c>
      <c r="C4">
        <f t="shared" si="3"/>
        <v>1.9999999999999967</v>
      </c>
      <c r="D4">
        <f t="shared" si="3"/>
        <v>10</v>
      </c>
      <c r="E4">
        <f t="shared" ref="E4:E7" si="15">E3+K3/5</f>
        <v>1.9997684198097818</v>
      </c>
      <c r="F4">
        <f>F3+L3/5</f>
        <v>0.99999999999999978</v>
      </c>
      <c r="G4">
        <f>G3+M3/5</f>
        <v>5</v>
      </c>
      <c r="H4">
        <f t="shared" si="4"/>
        <v>2.9998842226928861</v>
      </c>
      <c r="I4">
        <f t="shared" si="5"/>
        <v>100</v>
      </c>
      <c r="J4">
        <f t="shared" si="6"/>
        <v>1000</v>
      </c>
      <c r="K4">
        <f t="shared" si="7"/>
        <v>5.7914229238805359E-4</v>
      </c>
      <c r="L4">
        <f t="shared" si="8"/>
        <v>1.5359999998033922E-14</v>
      </c>
      <c r="M4">
        <f t="shared" si="9"/>
        <v>1.5359999999999996E-21</v>
      </c>
      <c r="N4">
        <f t="shared" ref="N4:N7" si="16">N3+Q4</f>
        <v>0.99976839423379094</v>
      </c>
      <c r="O4">
        <f t="shared" si="10"/>
        <v>-98</v>
      </c>
      <c r="P4">
        <f t="shared" si="10"/>
        <v>-990</v>
      </c>
      <c r="Q4">
        <f t="shared" ref="Q4:Q7" si="17">Q3+W3/5</f>
        <v>-4.0002316057662091</v>
      </c>
      <c r="R4">
        <f>R3+X3/5</f>
        <v>2.0999999999999943</v>
      </c>
      <c r="S4">
        <f>S3+Y3/5</f>
        <v>20</v>
      </c>
      <c r="T4">
        <f t="shared" si="11"/>
        <v>-2.9998842226928861</v>
      </c>
      <c r="U4">
        <f t="shared" si="12"/>
        <v>-100</v>
      </c>
      <c r="V4">
        <f t="shared" si="13"/>
        <v>-1000</v>
      </c>
      <c r="W4">
        <f t="shared" ref="W4:W7" si="18">-10*(N4-B4)</f>
        <v>29.998842226928861</v>
      </c>
      <c r="X4">
        <f>-10*(O4-C4)</f>
        <v>1000</v>
      </c>
      <c r="Y4">
        <f>-10*(P4-D4)</f>
        <v>10000</v>
      </c>
    </row>
    <row r="5" spans="1:28" x14ac:dyDescent="0.3">
      <c r="A5">
        <v>3</v>
      </c>
      <c r="B5">
        <f t="shared" si="14"/>
        <v>5.999536865194937</v>
      </c>
      <c r="C5">
        <f t="shared" si="3"/>
        <v>2.9999999999999996</v>
      </c>
      <c r="D5">
        <f t="shared" si="3"/>
        <v>15</v>
      </c>
      <c r="E5">
        <f t="shared" si="15"/>
        <v>1.9998842482682595</v>
      </c>
      <c r="F5">
        <f>F4+L4/5</f>
        <v>1.0000000000000029</v>
      </c>
      <c r="G5">
        <f>G4+M4/5</f>
        <v>5</v>
      </c>
      <c r="H5">
        <f t="shared" si="4"/>
        <v>3.0002316313415829</v>
      </c>
      <c r="I5">
        <f t="shared" si="5"/>
        <v>-101.1</v>
      </c>
      <c r="J5">
        <f t="shared" si="6"/>
        <v>-1015</v>
      </c>
      <c r="K5">
        <f t="shared" si="7"/>
        <v>5.7875865254026083E-4</v>
      </c>
      <c r="L5">
        <f t="shared" si="8"/>
        <v>-1.4227648476633937E-14</v>
      </c>
      <c r="M5">
        <f t="shared" si="9"/>
        <v>-1.3839771504506888E-21</v>
      </c>
      <c r="N5">
        <f t="shared" si="16"/>
        <v>2.9993052338533541</v>
      </c>
      <c r="O5">
        <f t="shared" si="10"/>
        <v>104.1</v>
      </c>
      <c r="P5">
        <f t="shared" si="10"/>
        <v>1030</v>
      </c>
      <c r="Q5">
        <f t="shared" si="17"/>
        <v>1.9995368396195632</v>
      </c>
      <c r="R5">
        <f>R4+X4/5</f>
        <v>202.1</v>
      </c>
      <c r="S5">
        <f>S4+Y4/5</f>
        <v>2020</v>
      </c>
      <c r="T5">
        <f t="shared" si="11"/>
        <v>-3.0002316313415829</v>
      </c>
      <c r="U5">
        <f t="shared" si="12"/>
        <v>101.1</v>
      </c>
      <c r="V5">
        <f t="shared" si="13"/>
        <v>1015</v>
      </c>
      <c r="W5">
        <f t="shared" si="18"/>
        <v>30.002316313415829</v>
      </c>
      <c r="X5">
        <f>-10*(O5-C5)</f>
        <v>-1011</v>
      </c>
      <c r="Y5">
        <f>-10*(P5-D5)</f>
        <v>-10150</v>
      </c>
    </row>
    <row r="6" spans="1:28" x14ac:dyDescent="0.3">
      <c r="A6">
        <v>4</v>
      </c>
      <c r="B6">
        <f t="shared" si="14"/>
        <v>7.9995368651937042</v>
      </c>
      <c r="C6">
        <f t="shared" si="3"/>
        <v>3.9999999999999996</v>
      </c>
      <c r="D6">
        <f t="shared" si="3"/>
        <v>20</v>
      </c>
      <c r="E6">
        <f t="shared" si="15"/>
        <v>1.9999999999987677</v>
      </c>
      <c r="F6">
        <f>F5+L5/5</f>
        <v>1</v>
      </c>
      <c r="G6">
        <f>G5+M5/5</f>
        <v>5</v>
      </c>
      <c r="H6">
        <f t="shared" si="4"/>
        <v>-2.999768470962378</v>
      </c>
      <c r="I6">
        <f t="shared" si="5"/>
        <v>-100</v>
      </c>
      <c r="J6">
        <f t="shared" si="6"/>
        <v>-1000</v>
      </c>
      <c r="K6">
        <f t="shared" si="7"/>
        <v>-5.792701661469353E-4</v>
      </c>
      <c r="L6">
        <f t="shared" si="8"/>
        <v>-1.5359999998033922E-14</v>
      </c>
      <c r="M6">
        <f t="shared" si="9"/>
        <v>-1.5359999999999996E-21</v>
      </c>
      <c r="N6">
        <f t="shared" si="16"/>
        <v>10.999305336156082</v>
      </c>
      <c r="O6">
        <f t="shared" si="10"/>
        <v>104</v>
      </c>
      <c r="P6">
        <f t="shared" si="10"/>
        <v>1020</v>
      </c>
      <c r="Q6">
        <f t="shared" si="17"/>
        <v>8.0000001023027281</v>
      </c>
      <c r="R6">
        <f>R5+X5/5</f>
        <v>-9.9999999999994316E-2</v>
      </c>
      <c r="S6">
        <f>S5+Y5/5</f>
        <v>-10</v>
      </c>
      <c r="T6">
        <f t="shared" si="11"/>
        <v>2.999768470962378</v>
      </c>
      <c r="U6">
        <f t="shared" si="12"/>
        <v>100</v>
      </c>
      <c r="V6">
        <f t="shared" si="13"/>
        <v>1000</v>
      </c>
      <c r="W6">
        <f t="shared" si="18"/>
        <v>-29.99768470962378</v>
      </c>
      <c r="X6">
        <f>-10*(O6-C6)</f>
        <v>-1000</v>
      </c>
      <c r="Y6">
        <f>-10*(P6-D6)</f>
        <v>-10000</v>
      </c>
    </row>
    <row r="7" spans="1:28" x14ac:dyDescent="0.3">
      <c r="A7">
        <v>5</v>
      </c>
      <c r="B7">
        <f t="shared" si="14"/>
        <v>9.9994210111592423</v>
      </c>
      <c r="C7">
        <f t="shared" si="3"/>
        <v>4.9999999999999964</v>
      </c>
      <c r="D7">
        <f t="shared" si="3"/>
        <v>25</v>
      </c>
      <c r="E7">
        <f t="shared" si="15"/>
        <v>1.9998841459655383</v>
      </c>
      <c r="F7">
        <f>F6+L6/5</f>
        <v>0.99999999999999689</v>
      </c>
      <c r="G7">
        <f>G6+M6/5</f>
        <v>5</v>
      </c>
      <c r="H7">
        <f t="shared" si="4"/>
        <v>-3.000347485374812</v>
      </c>
      <c r="I7">
        <f t="shared" si="5"/>
        <v>101.1</v>
      </c>
      <c r="J7">
        <f t="shared" si="6"/>
        <v>1015</v>
      </c>
      <c r="K7">
        <f t="shared" si="7"/>
        <v>-5.7863076645513298E-4</v>
      </c>
      <c r="L7">
        <f t="shared" si="8"/>
        <v>1.4227648476633937E-14</v>
      </c>
      <c r="M7">
        <f t="shared" si="9"/>
        <v>1.3839771504506888E-21</v>
      </c>
      <c r="N7">
        <f t="shared" si="16"/>
        <v>12.999768496534054</v>
      </c>
      <c r="O7">
        <f t="shared" si="10"/>
        <v>-96.1</v>
      </c>
      <c r="P7">
        <f t="shared" si="10"/>
        <v>-990</v>
      </c>
      <c r="Q7">
        <f t="shared" si="17"/>
        <v>2.0004631603779721</v>
      </c>
      <c r="R7">
        <f>R6+X6/5</f>
        <v>-200.1</v>
      </c>
      <c r="S7">
        <f>S6+Y6/5</f>
        <v>-2010</v>
      </c>
      <c r="T7">
        <f t="shared" si="11"/>
        <v>3.000347485374812</v>
      </c>
      <c r="U7">
        <f t="shared" si="12"/>
        <v>-101.1</v>
      </c>
      <c r="V7">
        <f t="shared" si="13"/>
        <v>-1015</v>
      </c>
      <c r="W7">
        <f t="shared" si="18"/>
        <v>-30.00347485374812</v>
      </c>
      <c r="X7">
        <f>-10*(O7-C7)</f>
        <v>1011</v>
      </c>
      <c r="Y7">
        <f>-10*(P7-D7)</f>
        <v>10150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SimpleSpring</vt:lpstr>
      <vt:lpstr>LJ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Tavakol</dc:creator>
  <cp:lastModifiedBy>Mehdi Tavakol</cp:lastModifiedBy>
  <dcterms:created xsi:type="dcterms:W3CDTF">2026-02-19T16:50:41Z</dcterms:created>
  <dcterms:modified xsi:type="dcterms:W3CDTF">2026-02-22T14:37:02Z</dcterms:modified>
</cp:coreProperties>
</file>